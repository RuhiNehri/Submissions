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2AU\OneDrive\Documents\GitHub\MapUp-Data-Assessment-F\Submissions\"/>
    </mc:Choice>
  </mc:AlternateContent>
  <xr:revisionPtr revIDLastSave="0" documentId="13_ncr:1_{3C904AD9-D69D-49D2-A506-241FEB160330}" xr6:coauthVersionLast="47" xr6:coauthVersionMax="47" xr10:uidLastSave="{00000000-0000-0000-0000-000000000000}"/>
  <bookViews>
    <workbookView xWindow="732" yWindow="732" windowWidth="17280" windowHeight="888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29" i="20" l="1"/>
  <c r="F35" i="20"/>
  <c r="F34" i="20"/>
  <c r="F33" i="20"/>
  <c r="F32" i="20"/>
  <c r="F31" i="20"/>
  <c r="F30" i="20"/>
  <c r="F28" i="20"/>
  <c r="F27" i="20"/>
  <c r="F26" i="20"/>
  <c r="F25" i="20"/>
  <c r="F24" i="20"/>
  <c r="F23" i="20"/>
  <c r="E35" i="20"/>
  <c r="E34" i="20"/>
  <c r="E33" i="20"/>
  <c r="E32" i="20"/>
  <c r="E30" i="20"/>
  <c r="E29" i="20"/>
  <c r="E28" i="20"/>
  <c r="E25" i="20"/>
  <c r="E26" i="20"/>
  <c r="E27" i="20"/>
  <c r="E31" i="20"/>
  <c r="E24" i="20"/>
  <c r="E23" i="20"/>
  <c r="D34" i="20"/>
  <c r="D32" i="20"/>
  <c r="D30" i="20"/>
  <c r="D31" i="20"/>
  <c r="D33" i="20"/>
  <c r="D35" i="20"/>
  <c r="D29" i="20"/>
  <c r="D28" i="20"/>
  <c r="D26" i="20"/>
  <c r="D25" i="20"/>
  <c r="D24" i="20"/>
  <c r="D27" i="20"/>
  <c r="D23" i="20"/>
  <c r="D22" i="19" l="1"/>
  <c r="D13" i="19"/>
  <c r="D14" i="19"/>
  <c r="D15" i="19"/>
  <c r="D16" i="19"/>
  <c r="D17" i="19"/>
  <c r="D18" i="19"/>
  <c r="D19" i="19"/>
  <c r="D20" i="19"/>
  <c r="D21" i="19"/>
  <c r="D1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<sst xmlns="http://schemas.openxmlformats.org/spreadsheetml/2006/main" count="411" uniqueCount="188">
  <si>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</si>
  <si>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</si>
  <si>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</si>
  <si>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</si>
  <si>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</si>
  <si>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</si>
  <si>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</si>
  <si>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</si>
  <si>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</si>
  <si>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</si>
  <si>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</si>
  <si>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</si>
  <si>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</si>
  <si>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</si>
  <si>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</si>
  <si>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</si>
  <si>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</si>
  <si>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</si>
  <si>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</si>
  <si>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</si>
  <si>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</si>
  <si>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</si>
  <si>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</si>
  <si>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</si>
  <si>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</si>
  <si>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</si>
  <si>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</si>
  <si>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</si>
  <si>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</si>
  <si>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</si>
  <si>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</si>
  <si>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</si>
  <si>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</si>
  <si>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</si>
  <si>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</si>
  <si>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</si>
  <si>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</si>
  <si>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</si>
  <si>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</si>
  <si>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</si>
  <si>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</si>
  <si>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</si>
  <si>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</si>
  <si>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</si>
  <si>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</si>
  <si>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</si>
  <si>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</si>
  <si>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</si>
  <si>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</si>
  <si>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</si>
  <si>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</si>
  <si>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</si>
  <si>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</si>
  <si>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</si>
  <si>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</si>
  <si>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</si>
  <si>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</si>
  <si>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</si>
  <si>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</si>
  <si>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</si>
  <si>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</si>
  <si>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</si>
  <si>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</si>
  <si>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</si>
  <si>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</si>
  <si>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</si>
  <si>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</si>
  <si>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</si>
  <si>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</si>
  <si>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</si>
  <si>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</si>
  <si>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</si>
  <si>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</si>
  <si>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</si>
  <si>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</si>
  <si>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</si>
  <si>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</si>
  <si>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</si>
  <si>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</si>
  <si>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</si>
  <si>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</si>
  <si>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</si>
  <si>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</si>
  <si>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</si>
  <si>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</si>
  <si>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</si>
  <si>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</si>
  <si>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</si>
  <si>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</si>
  <si>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</si>
  <si>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</si>
  <si>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</si>
  <si>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</si>
  <si>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</si>
  <si>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</si>
  <si>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</si>
  <si>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</si>
  <si>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</si>
  <si>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</si>
  <si>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</si>
  <si>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</si>
  <si>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</si>
  <si>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</si>
  <si>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</si>
  <si>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</si>
  <si>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</si>
  <si>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</si>
  <si>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</si>
  <si>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</si>
  <si>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</si>
  <si>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</si>
  <si>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</si>
  <si>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</si>
  <si>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</si>
  <si>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</si>
  <si>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</si>
  <si>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</si>
  <si>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</si>
  <si>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</si>
  <si>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</si>
  <si>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</si>
  <si>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</si>
  <si>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</si>
  <si>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</si>
  <si>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</si>
  <si>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</si>
  <si>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</si>
  <si>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</si>
  <si>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</si>
  <si>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</si>
  <si>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</si>
  <si>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</si>
  <si>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</si>
  <si>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</si>
  <si>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</si>
  <si>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</si>
  <si>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</si>
  <si>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</si>
  <si>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</si>
  <si>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</si>
  <si>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</si>
  <si>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</si>
  <si>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</si>
  <si>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</si>
  <si>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</si>
  <si>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</si>
  <si>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</si>
  <si>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</si>
  <si>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</si>
  <si>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</si>
  <si>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</si>
  <si>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</si>
  <si>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</si>
  <si>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</si>
  <si>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</si>
  <si>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</si>
  <si>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</si>
  <si>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</si>
  <si>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</si>
  <si>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</si>
  <si>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</si>
  <si>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</si>
  <si>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</si>
  <si>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</si>
  <si>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</si>
  <si>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</si>
  <si>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</si>
  <si>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</si>
  <si>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</si>
  <si>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</si>
  <si>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</si>
  <si>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</si>
  <si>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</si>
  <si>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</si>
  <si>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</si>
  <si>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</si>
  <si>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</si>
  <si>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</si>
  <si>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Data Tab -&gt; Text to Columns</t>
  </si>
  <si>
    <t>Select the text to split . Click on Data Tab -&gt; Text to Columns tab -&gt; Delimeters-&gt;Others = "-"  -&gt;  Cell on which result has to appear ex: $B$16 -&gt; Finish</t>
  </si>
  <si>
    <t>name_1_id</t>
  </si>
  <si>
    <t>name_2_id</t>
  </si>
  <si>
    <t xml:space="preserve"> Vlookup() and INDEX()</t>
  </si>
  <si>
    <t xml:space="preserve">1. Two new columns are creted to match the id with name from table B using Vlookup. </t>
  </si>
  <si>
    <t>2. Index() Function is then used to fing the match and extract the cell value from table A.</t>
  </si>
  <si>
    <t>2. SUM()</t>
  </si>
  <si>
    <t>1. IFERROR()</t>
  </si>
  <si>
    <t>1. IFERROR Function is used to substitute the NA values with 20. Then Summing up using Sum() Function.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</si>
</sst>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7" fillId="6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3" fillId="0" borderId="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40" activePane="bottomLeft" state="frozen"/>
      <selection pane="bottomLeft" activeCell="AA18" sqref="AA18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44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9" zoomScaleNormal="100" workbookViewId="0">
      <selection activeCell="I24" sqref="I2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47">
        <f>VLOOKUP(A6,Dataset!A:G,7,0)</f>
        <v>2.7</v>
      </c>
      <c r="C6" s="47">
        <f>VLOOKUP(A6,Dataset!A:N,14,0)</f>
        <v>7.6</v>
      </c>
      <c r="D6" s="47">
        <f>VLOOKUP(A6,Dataset!A:R,18,0)</f>
        <v>4.2</v>
      </c>
      <c r="E6" s="47">
        <f>VLOOKUP(A6,Dataset!A:T,20,0)</f>
        <v>8.9</v>
      </c>
      <c r="F6" s="48">
        <f>VLOOKUP(A6,Dataset!A:V,22,0)</f>
        <v>4.2</v>
      </c>
    </row>
    <row r="7" spans="1:7" ht="14.4" x14ac:dyDescent="0.3">
      <c r="A7" s="7" t="s">
        <v>4</v>
      </c>
      <c r="B7" s="47">
        <f>VLOOKUP(A7,Dataset!A:G,7,0)</f>
        <v>2.7</v>
      </c>
      <c r="C7" s="47">
        <f>VLOOKUP(A7,Dataset!A:N,14,0)</f>
        <v>7.6</v>
      </c>
      <c r="D7" s="47">
        <f>VLOOKUP(A7,Dataset!A:R,18,0)</f>
        <v>4.2</v>
      </c>
      <c r="E7" s="47">
        <f>VLOOKUP(A7,Dataset!A:T,20,0)</f>
        <v>8.9</v>
      </c>
      <c r="F7" s="48">
        <f>VLOOKUP(A7,Dataset!A:V,22,0)</f>
        <v>4.2</v>
      </c>
    </row>
    <row r="8" spans="1:7" ht="14.4" x14ac:dyDescent="0.3">
      <c r="A8" s="7" t="s">
        <v>7</v>
      </c>
      <c r="B8" s="47">
        <f>VLOOKUP(A8,Dataset!A:G,7,0)</f>
        <v>3.6</v>
      </c>
      <c r="C8" s="47">
        <f>VLOOKUP(A8,Dataset!A:N,14,0)</f>
        <v>11.1</v>
      </c>
      <c r="D8" s="47">
        <f>VLOOKUP(A8,Dataset!A:R,18,0)</f>
        <v>5.8</v>
      </c>
      <c r="E8" s="47">
        <f>VLOOKUP(A8,Dataset!A:T,20,0)</f>
        <v>12.2</v>
      </c>
      <c r="F8" s="48">
        <f>VLOOKUP(A8,Dataset!A:V,22,0)</f>
        <v>5.8</v>
      </c>
    </row>
    <row r="9" spans="1:7" ht="14.4" x14ac:dyDescent="0.3">
      <c r="A9" s="7" t="s">
        <v>8</v>
      </c>
      <c r="B9" s="47">
        <f>VLOOKUP(A9,Dataset!A:G,7,0)</f>
        <v>4.9000000000000004</v>
      </c>
      <c r="C9" s="47">
        <f>VLOOKUP(A9,Dataset!A:N,14,0)</f>
        <v>13.3</v>
      </c>
      <c r="D9" s="47">
        <f>VLOOKUP(A9,Dataset!A:R,18,0)</f>
        <v>8.1</v>
      </c>
      <c r="E9" s="47">
        <f>VLOOKUP(A9,Dataset!A:T,20,0)</f>
        <v>17</v>
      </c>
      <c r="F9" s="48">
        <f>VLOOKUP(A9,Dataset!A:V,22,0)</f>
        <v>8.1</v>
      </c>
    </row>
    <row r="10" spans="1:7" ht="14.4" x14ac:dyDescent="0.3">
      <c r="A10" s="7" t="s">
        <v>11</v>
      </c>
      <c r="B10" s="47">
        <f>VLOOKUP(A10,Dataset!A:G,7,0)</f>
        <v>9.4</v>
      </c>
      <c r="C10" s="47">
        <f>VLOOKUP(A10,Dataset!A:N,14,0)</f>
        <v>28.3</v>
      </c>
      <c r="D10" s="47">
        <f>VLOOKUP(A10,Dataset!A:R,18,0)</f>
        <v>16.100000000000001</v>
      </c>
      <c r="E10" s="47">
        <f>VLOOKUP(A10,Dataset!A:T,20,0)</f>
        <v>32.799999999999997</v>
      </c>
      <c r="F10" s="48">
        <f>VLOOKUP(A10,Dataset!A:V,22,0)</f>
        <v>16.100000000000001</v>
      </c>
    </row>
    <row r="11" spans="1:7" ht="14.4" x14ac:dyDescent="0.3">
      <c r="A11" s="7" t="s">
        <v>12</v>
      </c>
      <c r="B11" s="47">
        <f>VLOOKUP(A11,Dataset!A:G,7,0)</f>
        <v>11.6</v>
      </c>
      <c r="C11" s="47">
        <f>VLOOKUP(A11,Dataset!A:N,14,0)</f>
        <v>35.200000000000003</v>
      </c>
      <c r="D11" s="47">
        <f>VLOOKUP(A11,Dataset!A:R,18,0)</f>
        <v>21.3</v>
      </c>
      <c r="E11" s="47">
        <f>VLOOKUP(A11,Dataset!A:T,20,0)</f>
        <v>43</v>
      </c>
      <c r="F11" s="48">
        <f>VLOOKUP(A11,Dataset!A:V,22,0)</f>
        <v>21.3</v>
      </c>
    </row>
    <row r="12" spans="1:7" ht="14.4" x14ac:dyDescent="0.3">
      <c r="A12" s="7" t="s">
        <v>14</v>
      </c>
      <c r="B12" s="47">
        <f>VLOOKUP(A12,Dataset!A:G,7,0)</f>
        <v>18.399999999999999</v>
      </c>
      <c r="C12" s="47">
        <f>VLOOKUP(A12,Dataset!A:N,14,0)</f>
        <v>55.6</v>
      </c>
      <c r="D12" s="47">
        <f>VLOOKUP(A12,Dataset!A:R,18,0)</f>
        <v>33.799999999999997</v>
      </c>
      <c r="E12" s="47">
        <f>VLOOKUP(A12,Dataset!A:T,20,0)</f>
        <v>67.900000000000006</v>
      </c>
      <c r="F12" s="48">
        <f>VLOOKUP(A12,Dataset!A:V,22,0)</f>
        <v>33.799999999999997</v>
      </c>
    </row>
    <row r="13" spans="1:7" ht="14.4" x14ac:dyDescent="0.3">
      <c r="A13" s="7" t="s">
        <v>15</v>
      </c>
      <c r="B13" s="47">
        <f>VLOOKUP(A13,Dataset!A:G,7,0)</f>
        <v>0</v>
      </c>
      <c r="C13" s="47">
        <f>VLOOKUP(A13,Dataset!A:N,14,0)</f>
        <v>0</v>
      </c>
      <c r="D13" s="47">
        <f>VLOOKUP(A13,Dataset!A:R,18,0)</f>
        <v>0</v>
      </c>
      <c r="E13" s="47">
        <f>VLOOKUP(A13,Dataset!A:T,20,0)</f>
        <v>0</v>
      </c>
      <c r="F13" s="48">
        <f>VLOOKUP(A13,Dataset!A:V,22,0)</f>
        <v>0</v>
      </c>
    </row>
    <row r="14" spans="1:7" ht="14.4" x14ac:dyDescent="0.3">
      <c r="A14" s="7" t="s">
        <v>16</v>
      </c>
      <c r="B14" s="47">
        <f>VLOOKUP(A14,Dataset!A:G,7,0)</f>
        <v>21.9</v>
      </c>
      <c r="C14" s="47">
        <f>VLOOKUP(A14,Dataset!A:N,14,0)</f>
        <v>61.5</v>
      </c>
      <c r="D14" s="47">
        <f>VLOOKUP(A14,Dataset!A:R,18,0)</f>
        <v>40.1</v>
      </c>
      <c r="E14" s="47">
        <f>VLOOKUP(A14,Dataset!A:T,20,0)</f>
        <v>76.599999999999994</v>
      </c>
      <c r="F14" s="48">
        <f>VLOOKUP(A14,Dataset!A:V,22,0)</f>
        <v>40.1</v>
      </c>
    </row>
    <row r="15" spans="1:7" ht="14.4" x14ac:dyDescent="0.3">
      <c r="A15" s="7" t="s">
        <v>18</v>
      </c>
      <c r="B15" s="47">
        <f>VLOOKUP(A15,Dataset!A:G,7,0)</f>
        <v>26.8</v>
      </c>
      <c r="C15" s="47">
        <f>VLOOKUP(A15,Dataset!A:N,14,0)</f>
        <v>79.599999999999994</v>
      </c>
      <c r="D15" s="47">
        <f>VLOOKUP(A15,Dataset!A:R,18,0)</f>
        <v>47.9</v>
      </c>
      <c r="E15" s="47">
        <f>VLOOKUP(A15,Dataset!A:T,20,0)</f>
        <v>96.8</v>
      </c>
      <c r="F15" s="48">
        <f>VLOOKUP(A15,Dataset!A:V,22,0)</f>
        <v>47.9</v>
      </c>
    </row>
    <row r="16" spans="1:7" ht="14.4" x14ac:dyDescent="0.3">
      <c r="A16" s="7" t="s">
        <v>20</v>
      </c>
      <c r="B16" s="47">
        <f>VLOOKUP(A16,Dataset!A:G,7,0)</f>
        <v>28.5</v>
      </c>
      <c r="C16" s="47">
        <f>VLOOKUP(A16,Dataset!A:N,14,0)</f>
        <v>85.4</v>
      </c>
      <c r="D16" s="47">
        <f>VLOOKUP(A16,Dataset!A:R,18,0)</f>
        <v>52.3</v>
      </c>
      <c r="E16" s="47">
        <f>VLOOKUP(A16,Dataset!A:T,20,0)</f>
        <v>106.1</v>
      </c>
      <c r="F16" s="48">
        <f>VLOOKUP(A16,Dataset!A:V,22,0)</f>
        <v>52.3</v>
      </c>
    </row>
    <row r="17" spans="1:6" ht="14.4" x14ac:dyDescent="0.3">
      <c r="A17" s="7" t="s">
        <v>22</v>
      </c>
      <c r="B17" s="47">
        <f>VLOOKUP(A17,Dataset!A:G,7,0)</f>
        <v>30.7</v>
      </c>
      <c r="C17" s="47">
        <f>VLOOKUP(A17,Dataset!A:N,14,0)</f>
        <v>92.1</v>
      </c>
      <c r="D17" s="47">
        <f>VLOOKUP(A17,Dataset!A:R,18,0)</f>
        <v>57</v>
      </c>
      <c r="E17" s="47">
        <f>VLOOKUP(A17,Dataset!A:T,20,0)</f>
        <v>115.1</v>
      </c>
      <c r="F17" s="48">
        <f>VLOOKUP(A17,Dataset!A:V,22,0)</f>
        <v>57</v>
      </c>
    </row>
    <row r="18" spans="1:6" ht="14.4" x14ac:dyDescent="0.3">
      <c r="A18" s="7" t="s">
        <v>23</v>
      </c>
      <c r="B18" s="47">
        <f>VLOOKUP(A18,Dataset!A:G,7,0)</f>
        <v>33.799999999999997</v>
      </c>
      <c r="C18" s="47">
        <f>VLOOKUP(A18,Dataset!A:N,14,0)</f>
        <v>101.3</v>
      </c>
      <c r="D18" s="47">
        <f>VLOOKUP(A18,Dataset!A:R,18,0)</f>
        <v>61.4</v>
      </c>
      <c r="E18" s="47">
        <f>VLOOKUP(A18,Dataset!A:T,20,0)</f>
        <v>124.4</v>
      </c>
      <c r="F18" s="48">
        <f>VLOOKUP(A18,Dataset!A:V,22,0)</f>
        <v>61.4</v>
      </c>
    </row>
    <row r="19" spans="1:6" ht="14.4" x14ac:dyDescent="0.3">
      <c r="A19" s="7" t="s">
        <v>24</v>
      </c>
      <c r="B19" s="47">
        <f>VLOOKUP(A19,Dataset!A:G,7,0)</f>
        <v>34.700000000000003</v>
      </c>
      <c r="C19" s="47">
        <f>VLOOKUP(A19,Dataset!A:N,14,0)</f>
        <v>106.1</v>
      </c>
      <c r="D19" s="47">
        <f>VLOOKUP(A19,Dataset!A:R,18,0)</f>
        <v>63.6</v>
      </c>
      <c r="E19" s="47">
        <f>VLOOKUP(A19,Dataset!A:T,20,0)</f>
        <v>128.6</v>
      </c>
      <c r="F19" s="48">
        <f>VLOOKUP(A19,Dataset!A:V,22,0)</f>
        <v>63.6</v>
      </c>
    </row>
    <row r="20" spans="1:6" ht="14.4" x14ac:dyDescent="0.3">
      <c r="A20" s="7" t="s">
        <v>28</v>
      </c>
      <c r="B20" s="47">
        <f>VLOOKUP(A20,Dataset!A:G,7,0)</f>
        <v>0</v>
      </c>
      <c r="C20" s="47">
        <f>VLOOKUP(A20,Dataset!A:N,14,0)</f>
        <v>0</v>
      </c>
      <c r="D20" s="47">
        <f>VLOOKUP(A20,Dataset!A:R,18,0)</f>
        <v>0</v>
      </c>
      <c r="E20" s="47">
        <f>VLOOKUP(A20,Dataset!A:T,20,0)</f>
        <v>0</v>
      </c>
      <c r="F20" s="48">
        <f>VLOOKUP(A20,Dataset!A:V,22,0)</f>
        <v>0</v>
      </c>
    </row>
    <row r="21" spans="1:6" ht="14.4" x14ac:dyDescent="0.3">
      <c r="A21" s="7" t="s">
        <v>57</v>
      </c>
      <c r="B21" s="47">
        <f>VLOOKUP(A21,Dataset!A:G,7,0)</f>
        <v>41.3</v>
      </c>
      <c r="C21" s="47">
        <f>VLOOKUP(A21,Dataset!A:N,14,0)</f>
        <v>124.4</v>
      </c>
      <c r="D21" s="47">
        <f>VLOOKUP(A21,Dataset!A:R,18,0)</f>
        <v>75</v>
      </c>
      <c r="E21" s="47">
        <f>VLOOKUP(A21,Dataset!A:T,20,0)</f>
        <v>151.5</v>
      </c>
      <c r="F21" s="48">
        <f>VLOOKUP(A21,Dataset!A:V,22,0)</f>
        <v>75</v>
      </c>
    </row>
    <row r="22" spans="1:6" ht="14.4" x14ac:dyDescent="0.3">
      <c r="A22" s="7" t="s">
        <v>58</v>
      </c>
      <c r="B22" s="47">
        <f>VLOOKUP(A22,Dataset!A:G,7,0)</f>
        <v>-1</v>
      </c>
      <c r="C22" s="47">
        <f>VLOOKUP(A22,Dataset!A:N,14,0)</f>
        <v>-1</v>
      </c>
      <c r="D22" s="47">
        <f>VLOOKUP(A22,Dataset!A:R,18,0)</f>
        <v>-1</v>
      </c>
      <c r="E22" s="47">
        <f>VLOOKUP(A22,Dataset!A:T,20,0)</f>
        <v>-1</v>
      </c>
      <c r="F22" s="48">
        <f>VLOOKUP(A22,Dataset!A:V,22,0)</f>
        <v>-1</v>
      </c>
    </row>
    <row r="23" spans="1:6" ht="14.4" x14ac:dyDescent="0.3">
      <c r="A23" s="7" t="s">
        <v>31</v>
      </c>
      <c r="B23" s="47">
        <f>VLOOKUP(A23,Dataset!A:G,7,0)</f>
        <v>45</v>
      </c>
      <c r="C23" s="47">
        <f>VLOOKUP(A23,Dataset!A:N,14,0)</f>
        <v>133.4</v>
      </c>
      <c r="D23" s="47">
        <f>VLOOKUP(A23,Dataset!A:R,18,0)</f>
        <v>79.400000000000006</v>
      </c>
      <c r="E23" s="47">
        <f>VLOOKUP(A23,Dataset!A:T,20,0)</f>
        <v>160.9</v>
      </c>
      <c r="F23" s="48">
        <f>VLOOKUP(A23,Dataset!A:V,22,0)</f>
        <v>79.400000000000006</v>
      </c>
    </row>
    <row r="24" spans="1:6" ht="14.4" x14ac:dyDescent="0.3">
      <c r="A24" s="7" t="s">
        <v>32</v>
      </c>
      <c r="B24" s="47">
        <f>VLOOKUP(A24,Dataset!A:G,7,0)</f>
        <v>-1</v>
      </c>
      <c r="C24" s="47">
        <f>VLOOKUP(A24,Dataset!A:N,14,0)</f>
        <v>-1</v>
      </c>
      <c r="D24" s="47">
        <f>VLOOKUP(A24,Dataset!A:R,18,0)</f>
        <v>-1</v>
      </c>
      <c r="E24" s="47">
        <f>VLOOKUP(A24,Dataset!A:T,20,0)</f>
        <v>-1</v>
      </c>
      <c r="F24" s="48">
        <f>VLOOKUP(A24,Dataset!A:V,22,0)</f>
        <v>-1</v>
      </c>
    </row>
    <row r="25" spans="1:6" ht="14.4" x14ac:dyDescent="0.3">
      <c r="A25" s="7" t="s">
        <v>34</v>
      </c>
      <c r="B25" s="47">
        <f>VLOOKUP(A25,Dataset!A:G,7,0)</f>
        <v>43.3</v>
      </c>
      <c r="C25" s="47">
        <f>VLOOKUP(A25,Dataset!A:N,14,0)</f>
        <v>128.6</v>
      </c>
      <c r="D25" s="47">
        <f>VLOOKUP(A25,Dataset!A:R,18,0)</f>
        <v>79.400000000000006</v>
      </c>
      <c r="E25" s="47">
        <f>VLOOKUP(A25,Dataset!A:T,20,0)</f>
        <v>160.9</v>
      </c>
      <c r="F25" s="48">
        <f>VLOOKUP(A25,Dataset!A:V,22,0)</f>
        <v>79.400000000000006</v>
      </c>
    </row>
    <row r="26" spans="1:6" ht="14.4" x14ac:dyDescent="0.3">
      <c r="A26" s="7" t="s">
        <v>37</v>
      </c>
      <c r="B26" s="47">
        <f>VLOOKUP(A26,Dataset!A:G,7,0)</f>
        <v>49.1</v>
      </c>
      <c r="C26" s="47">
        <f>VLOOKUP(A26,Dataset!A:N,14,0)</f>
        <v>146.80000000000001</v>
      </c>
      <c r="D26" s="47">
        <f>VLOOKUP(A26,Dataset!A:R,18,0)</f>
        <v>90.9</v>
      </c>
      <c r="E26" s="47">
        <f>VLOOKUP(A26,Dataset!A:T,20,0)</f>
        <v>183.5</v>
      </c>
      <c r="F26" s="48">
        <f>VLOOKUP(A26,Dataset!A:V,22,0)</f>
        <v>90.9</v>
      </c>
    </row>
    <row r="27" spans="1:6" ht="14.4" x14ac:dyDescent="0.3">
      <c r="A27" s="7" t="s">
        <v>39</v>
      </c>
      <c r="B27" s="47">
        <f>VLOOKUP(A27,Dataset!A:G,7,0)</f>
        <v>51.8</v>
      </c>
      <c r="C27" s="47">
        <f>VLOOKUP(A27,Dataset!A:N,14,0)</f>
        <v>156.4</v>
      </c>
      <c r="D27" s="47">
        <f>VLOOKUP(A27,Dataset!A:R,18,0)</f>
        <v>93.1</v>
      </c>
      <c r="E27" s="47">
        <f>VLOOKUP(A27,Dataset!A:T,20,0)</f>
        <v>188.1</v>
      </c>
      <c r="F27" s="48">
        <f>VLOOKUP(A27,Dataset!A:V,22,0)</f>
        <v>93.1</v>
      </c>
    </row>
    <row r="28" spans="1:6" ht="14.4" x14ac:dyDescent="0.3">
      <c r="A28" s="18" t="s">
        <v>82</v>
      </c>
      <c r="B28" s="49">
        <f>MIN(B6:B27)</f>
        <v>-1</v>
      </c>
      <c r="C28" s="49">
        <f t="shared" ref="C28:F28" si="0">MIN(C6:C27)</f>
        <v>-1</v>
      </c>
      <c r="D28" s="49">
        <f t="shared" si="0"/>
        <v>-1</v>
      </c>
      <c r="E28" s="49">
        <f t="shared" si="0"/>
        <v>-1</v>
      </c>
      <c r="F28" s="49">
        <f t="shared" si="0"/>
        <v>-1</v>
      </c>
    </row>
    <row r="29" spans="1:6" ht="14.4" x14ac:dyDescent="0.3">
      <c r="A29" s="18" t="s">
        <v>83</v>
      </c>
      <c r="B29" s="49">
        <f>MAX(B6:B27)</f>
        <v>51.8</v>
      </c>
      <c r="C29" s="49">
        <f t="shared" ref="C29:F29" si="1">MAX(C6:C27)</f>
        <v>156.4</v>
      </c>
      <c r="D29" s="49">
        <f t="shared" si="1"/>
        <v>93.1</v>
      </c>
      <c r="E29" s="49">
        <f t="shared" si="1"/>
        <v>188.1</v>
      </c>
      <c r="F29" s="49">
        <f t="shared" si="1"/>
        <v>93.1</v>
      </c>
    </row>
    <row r="30" spans="1:6" ht="14.4" x14ac:dyDescent="0.3">
      <c r="A30" s="18" t="s">
        <v>84</v>
      </c>
      <c r="B30" s="49">
        <f>ROUND(AVERAGE(B6:B27),2)</f>
        <v>20.83</v>
      </c>
      <c r="C30" s="49">
        <f t="shared" ref="C30:F30" si="2">ROUND(AVERAGE(C6:C27),2)</f>
        <v>62.38</v>
      </c>
      <c r="D30" s="49">
        <f t="shared" si="2"/>
        <v>37.799999999999997</v>
      </c>
      <c r="E30" s="49">
        <f t="shared" si="2"/>
        <v>76.42</v>
      </c>
      <c r="F30" s="49">
        <f t="shared" si="2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"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38" t="s">
        <v>178</v>
      </c>
    </row>
    <row r="6" spans="1:10" ht="18" x14ac:dyDescent="0.35">
      <c r="A6" s="41" t="s">
        <v>153</v>
      </c>
      <c r="B6" s="38" t="s">
        <v>179</v>
      </c>
    </row>
    <row r="7" spans="1:10" ht="18" x14ac:dyDescent="0.35">
      <c r="A7" s="41"/>
      <c r="B7" s="38"/>
    </row>
    <row r="9" spans="1:10" ht="23.4" x14ac:dyDescent="0.45">
      <c r="A9" s="17" t="s">
        <v>165</v>
      </c>
      <c r="I9" s="2"/>
      <c r="J9" s="2"/>
    </row>
    <row r="10" spans="1:10" x14ac:dyDescent="0.3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16" zoomScaleNormal="100" workbookViewId="0">
      <selection activeCell="F9" sqref="F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0" t="s">
        <v>85</v>
      </c>
      <c r="B1" s="39" t="s">
        <v>167</v>
      </c>
    </row>
    <row r="2" spans="1:4" ht="18" x14ac:dyDescent="0.35">
      <c r="B2" s="38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186</v>
      </c>
      <c r="C6" s="2" t="s">
        <v>185</v>
      </c>
    </row>
    <row r="7" spans="1:4" ht="14.4" x14ac:dyDescent="0.3">
      <c r="A7" s="3" t="s">
        <v>153</v>
      </c>
      <c r="B7" s="1" t="s">
        <v>187</v>
      </c>
    </row>
    <row r="10" spans="1:4" ht="23.4" x14ac:dyDescent="0.45">
      <c r="A10" s="17" t="s">
        <v>162</v>
      </c>
    </row>
    <row r="11" spans="1:4" ht="14.4" x14ac:dyDescent="0.3">
      <c r="A11" s="30" t="s">
        <v>86</v>
      </c>
      <c r="B11" s="16" t="s">
        <v>87</v>
      </c>
      <c r="C11" s="16" t="s">
        <v>88</v>
      </c>
    </row>
    <row r="12" spans="1:4" ht="14.4" x14ac:dyDescent="0.3">
      <c r="A12" s="30">
        <v>44927</v>
      </c>
      <c r="B12" s="16" t="s">
        <v>59</v>
      </c>
      <c r="C12" s="16">
        <v>200</v>
      </c>
      <c r="D12" s="24">
        <f>IFERROR(C12,20)</f>
        <v>200</v>
      </c>
    </row>
    <row r="13" spans="1:4" ht="14.4" x14ac:dyDescent="0.3">
      <c r="A13" s="30">
        <v>44928</v>
      </c>
      <c r="B13" s="16" t="s">
        <v>60</v>
      </c>
      <c r="C13" s="16" t="e">
        <v>#N/A</v>
      </c>
      <c r="D13" s="24">
        <f t="shared" ref="D13:D21" si="0">IFERROR(C13,20)</f>
        <v>20</v>
      </c>
    </row>
    <row r="14" spans="1:4" ht="14.4" x14ac:dyDescent="0.3">
      <c r="A14" s="30">
        <v>44929</v>
      </c>
      <c r="B14" s="16" t="s">
        <v>61</v>
      </c>
      <c r="C14" s="16">
        <v>50</v>
      </c>
      <c r="D14" s="24">
        <f t="shared" si="0"/>
        <v>50</v>
      </c>
    </row>
    <row r="15" spans="1:4" ht="14.4" x14ac:dyDescent="0.3">
      <c r="A15" s="30">
        <v>44930</v>
      </c>
      <c r="B15" s="16" t="s">
        <v>62</v>
      </c>
      <c r="C15" s="16" t="e">
        <v>#N/A</v>
      </c>
      <c r="D15" s="24">
        <f t="shared" si="0"/>
        <v>20</v>
      </c>
    </row>
    <row r="16" spans="1:4" ht="14.4" x14ac:dyDescent="0.3">
      <c r="A16" s="30">
        <v>44931</v>
      </c>
      <c r="B16" s="16" t="s">
        <v>63</v>
      </c>
      <c r="C16" s="16">
        <v>10</v>
      </c>
      <c r="D16" s="24">
        <f t="shared" si="0"/>
        <v>10</v>
      </c>
    </row>
    <row r="17" spans="1:4" ht="14.4" x14ac:dyDescent="0.3">
      <c r="A17" s="30">
        <v>44932</v>
      </c>
      <c r="B17" s="16" t="s">
        <v>154</v>
      </c>
      <c r="C17" s="16">
        <v>150</v>
      </c>
      <c r="D17" s="24">
        <f t="shared" si="0"/>
        <v>150</v>
      </c>
    </row>
    <row r="18" spans="1:4" ht="14.4" x14ac:dyDescent="0.3">
      <c r="A18" s="30">
        <v>44933</v>
      </c>
      <c r="B18" s="16" t="s">
        <v>155</v>
      </c>
      <c r="C18" s="16">
        <v>80</v>
      </c>
      <c r="D18" s="24">
        <f t="shared" si="0"/>
        <v>80</v>
      </c>
    </row>
    <row r="19" spans="1:4" ht="14.4" x14ac:dyDescent="0.3">
      <c r="A19" s="30">
        <v>44934</v>
      </c>
      <c r="B19" s="16" t="s">
        <v>156</v>
      </c>
      <c r="C19" s="16" t="e">
        <v>#N/A</v>
      </c>
      <c r="D19" s="24">
        <f t="shared" si="0"/>
        <v>20</v>
      </c>
    </row>
    <row r="20" spans="1:4" ht="14.4" x14ac:dyDescent="0.3">
      <c r="A20" s="30">
        <v>44935</v>
      </c>
      <c r="B20" s="16" t="s">
        <v>157</v>
      </c>
      <c r="C20" s="16">
        <v>30</v>
      </c>
      <c r="D20" s="24">
        <f t="shared" si="0"/>
        <v>30</v>
      </c>
    </row>
    <row r="21" spans="1:4" ht="14.4" x14ac:dyDescent="0.3">
      <c r="A21" s="30">
        <v>44936</v>
      </c>
      <c r="B21" s="16" t="s">
        <v>158</v>
      </c>
      <c r="C21" s="16" t="e">
        <v>#N/A</v>
      </c>
      <c r="D21" s="24">
        <f t="shared" si="0"/>
        <v>20</v>
      </c>
    </row>
    <row r="22" spans="1:4" ht="14.4" x14ac:dyDescent="0.3">
      <c r="B22" s="16" t="s">
        <v>159</v>
      </c>
      <c r="C22" s="24"/>
      <c r="D22" s="25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5" zoomScaleNormal="100" workbookViewId="0">
      <selection activeCell="D34" sqref="D3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/>
      <c r="C4" s="2" t="s">
        <v>182</v>
      </c>
    </row>
    <row r="5" spans="1:14" ht="18" x14ac:dyDescent="0.35">
      <c r="A5" s="41" t="s">
        <v>153</v>
      </c>
      <c r="B5" s="1"/>
      <c r="C5" s="2" t="s">
        <v>183</v>
      </c>
    </row>
    <row r="6" spans="1:14" ht="14.4" x14ac:dyDescent="0.3">
      <c r="A6" s="3"/>
      <c r="B6" s="1"/>
      <c r="C6" s="2" t="s">
        <v>184</v>
      </c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/>
      <c r="D22" s="24" t="s">
        <v>180</v>
      </c>
      <c r="E22" s="24" t="s">
        <v>181</v>
      </c>
      <c r="F22" s="24" t="s">
        <v>102</v>
      </c>
    </row>
    <row r="23" spans="1:14" ht="14.4" x14ac:dyDescent="0.3">
      <c r="A23" s="7">
        <v>10100</v>
      </c>
      <c r="B23" s="11">
        <v>10102</v>
      </c>
      <c r="C23" s="42"/>
      <c r="D23" s="24" t="str">
        <f>VLOOKUP(A23,M10:N18,2,0)</f>
        <v>A</v>
      </c>
      <c r="E23" s="24" t="str">
        <f>VLOOKUP(B23,M10:N18,2,0)</f>
        <v>B</v>
      </c>
      <c r="F23" s="24">
        <f>INDEX(B10:J18,MATCH(D23,A10:A18,0),MATCH(E23,B9:J9,0))</f>
        <v>95</v>
      </c>
    </row>
    <row r="24" spans="1:14" ht="14.4" x14ac:dyDescent="0.3">
      <c r="A24" s="7">
        <v>10100</v>
      </c>
      <c r="B24" s="11">
        <v>10104</v>
      </c>
      <c r="C24" s="42"/>
      <c r="D24" s="24" t="str">
        <f>VLOOKUP(A24,M1:N19,2,0)</f>
        <v>A</v>
      </c>
      <c r="E24" s="24" t="str">
        <f>VLOOKUP(B24,M10:N18,2,0)</f>
        <v>C</v>
      </c>
      <c r="F24" s="24">
        <f>INDEX(B10:J18,MATCH(D24,A10:A18,0),MATCH(E24,B9:J9,0))</f>
        <v>-1</v>
      </c>
    </row>
    <row r="25" spans="1:14" ht="14.4" x14ac:dyDescent="0.3">
      <c r="A25" s="7">
        <v>10108</v>
      </c>
      <c r="B25" s="11">
        <v>10102</v>
      </c>
      <c r="C25" s="42"/>
      <c r="D25" s="24" t="str">
        <f>VLOOKUP(A25,M10:N18,2,0)</f>
        <v>E</v>
      </c>
      <c r="E25" s="24" t="str">
        <f t="shared" ref="E25:E31" si="0">VLOOKUP(B25,M11:N19,2,0)</f>
        <v>B</v>
      </c>
      <c r="F25" s="24">
        <f>INDEX(B10:J18,MATCH(D25,A10:A18,0),MATCH(E25,B9:J9,0))</f>
        <v>160</v>
      </c>
    </row>
    <row r="26" spans="1:14" ht="14.4" x14ac:dyDescent="0.3">
      <c r="A26" s="7">
        <v>10100</v>
      </c>
      <c r="B26" s="11">
        <v>10106</v>
      </c>
      <c r="C26" s="42"/>
      <c r="D26" s="24" t="str">
        <f>VLOOKUP(A26,M10:N18,2,0)</f>
        <v>A</v>
      </c>
      <c r="E26" s="24" t="str">
        <f t="shared" si="0"/>
        <v>D</v>
      </c>
      <c r="F26" s="24">
        <f>INDEX(B10:J18,MATCH(D26,A10:A18,0),MATCH(E26,B9:J9,0))</f>
        <v>185</v>
      </c>
    </row>
    <row r="27" spans="1:14" ht="14.4" x14ac:dyDescent="0.3">
      <c r="A27" s="7">
        <v>10108</v>
      </c>
      <c r="B27" s="11">
        <v>10110</v>
      </c>
      <c r="C27" s="42"/>
      <c r="D27" s="24" t="str">
        <f t="shared" ref="D27" si="1">VLOOKUP(A27,M14:N22,2,0)</f>
        <v>E</v>
      </c>
      <c r="E27" s="24" t="str">
        <f t="shared" si="0"/>
        <v>F</v>
      </c>
      <c r="F27" s="24">
        <f>INDEX(B10:J18,MATCH(D27,A10:A18,0),MATCH(E27,B9:J9,0))</f>
        <v>50</v>
      </c>
    </row>
    <row r="28" spans="1:14" ht="14.4" x14ac:dyDescent="0.3">
      <c r="A28" s="7">
        <v>10102</v>
      </c>
      <c r="B28" s="11">
        <v>10104</v>
      </c>
      <c r="C28" s="42"/>
      <c r="D28" s="24" t="str">
        <f>VLOOKUP(A28,M10:N18,2,0)</f>
        <v>B</v>
      </c>
      <c r="E28" s="24" t="str">
        <f>VLOOKUP(B28,M10:N18,2,0)</f>
        <v>C</v>
      </c>
      <c r="F28" s="24">
        <f>INDEX(B10:J18,MATCH(D28,A10:A18,0),MATCH(E28,B9:J9,0))</f>
        <v>-1</v>
      </c>
    </row>
    <row r="29" spans="1:14" ht="14.4" x14ac:dyDescent="0.3">
      <c r="A29" s="7">
        <v>10106</v>
      </c>
      <c r="B29" s="11">
        <v>10108</v>
      </c>
      <c r="C29" s="42"/>
      <c r="D29" s="24" t="str">
        <f>VLOOKUP(A29,M10:N18,2,0)</f>
        <v>D</v>
      </c>
      <c r="E29" s="24" t="str">
        <f>VLOOKUP(B29,M10:N18,2,0)</f>
        <v>E</v>
      </c>
      <c r="F29" s="24">
        <f>INDEX(B10:J18,MATCH(D29,A10:A18,0),MATCH(E29,B9:J9,0))</f>
        <v>70</v>
      </c>
    </row>
    <row r="30" spans="1:14" ht="14.4" x14ac:dyDescent="0.3">
      <c r="A30" s="7">
        <v>10102</v>
      </c>
      <c r="B30" s="11">
        <v>10106</v>
      </c>
      <c r="C30" s="42"/>
      <c r="D30" s="24" t="str">
        <f t="shared" ref="D30:D35" si="2">VLOOKUP(A30,M11:N19,2,0)</f>
        <v>B</v>
      </c>
      <c r="E30" s="24" t="str">
        <f>VLOOKUP(B30,M10:N18,2,0)</f>
        <v>D</v>
      </c>
      <c r="F30" s="24">
        <f>INDEX(B10:J18,MATCH(D30,A10:A18,0),MATCH(E30,B9:J9,0))</f>
        <v>90</v>
      </c>
    </row>
    <row r="31" spans="1:14" ht="14.4" x14ac:dyDescent="0.3">
      <c r="A31" s="7">
        <v>10110</v>
      </c>
      <c r="B31" s="11">
        <v>10114</v>
      </c>
      <c r="C31" s="42"/>
      <c r="D31" s="24" t="str">
        <f t="shared" si="2"/>
        <v>F</v>
      </c>
      <c r="E31" s="24" t="str">
        <f t="shared" si="0"/>
        <v>H</v>
      </c>
      <c r="F31" s="24">
        <f>INDEX(B10:J18,MATCH(D31,A10:A18,0),MATCH(E31,B9:J9,0))</f>
        <v>180</v>
      </c>
    </row>
    <row r="32" spans="1:14" ht="14.4" x14ac:dyDescent="0.3">
      <c r="A32" s="7">
        <v>10104</v>
      </c>
      <c r="B32" s="11">
        <v>10106</v>
      </c>
      <c r="C32" s="42"/>
      <c r="D32" s="24" t="str">
        <f>VLOOKUP(A32,M10:N18,2,0)</f>
        <v>C</v>
      </c>
      <c r="E32" s="24" t="str">
        <f>VLOOKUP(B32,M10:N18,2,0)</f>
        <v>D</v>
      </c>
      <c r="F32" s="24">
        <f>INDEX(B10:J18,MATCH(D32,A10:A18,0),MATCH(E32,B9:J9,0))</f>
        <v>60</v>
      </c>
    </row>
    <row r="33" spans="1:6" ht="14.4" x14ac:dyDescent="0.3">
      <c r="A33" s="7">
        <v>10110</v>
      </c>
      <c r="B33" s="11">
        <v>10112</v>
      </c>
      <c r="C33" s="42"/>
      <c r="D33" s="24" t="str">
        <f t="shared" si="2"/>
        <v>F</v>
      </c>
      <c r="E33" s="24" t="str">
        <f>VLOOKUP(B33,M10:N18,2,0)</f>
        <v>G</v>
      </c>
      <c r="F33" s="24">
        <f>INDEX(B10:J18,MATCH(D33,A10:A18,0),MATCH(E33,B9:J9,0))</f>
        <v>115</v>
      </c>
    </row>
    <row r="34" spans="1:6" ht="14.4" x14ac:dyDescent="0.3">
      <c r="A34" s="7">
        <v>10100</v>
      </c>
      <c r="B34" s="11">
        <v>10114</v>
      </c>
      <c r="C34" s="42"/>
      <c r="D34" s="24" t="str">
        <f>VLOOKUP(A34,M10:N18,2,0)</f>
        <v>A</v>
      </c>
      <c r="E34" s="24" t="str">
        <f>VLOOKUP(B34,M10:N18,2,0)</f>
        <v>H</v>
      </c>
      <c r="F34" s="24">
        <f>INDEX(B10:J18,MATCH(D34,A10:A18,0),MATCH(E34,B9:J9,0))</f>
        <v>480</v>
      </c>
    </row>
    <row r="35" spans="1:6" ht="14.4" x14ac:dyDescent="0.3">
      <c r="A35" s="8">
        <v>10112</v>
      </c>
      <c r="B35" s="12">
        <v>10116</v>
      </c>
      <c r="C35" s="43"/>
      <c r="D35" s="24" t="str">
        <f t="shared" si="2"/>
        <v>G</v>
      </c>
      <c r="E35" s="24" t="str">
        <f>VLOOKUP(B35,M10:N18,2,0)</f>
        <v>I</v>
      </c>
      <c r="F35" s="24">
        <f>INDEX(B10:J18,MATCH(D35,A10:A18,0),MATCH(E35,B9:J9,0))</f>
        <v>105</v>
      </c>
    </row>
  </sheetData>
  <pageMargins left="0.7" right="0.7" top="0.75" bottom="0.75" header="0.3" footer="0.3"/>
  <ignoredErrors>
    <ignoredError sqref="D32 D3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12AU</cp:lastModifiedBy>
  <dcterms:created xsi:type="dcterms:W3CDTF">2015-02-10T17:33:11Z</dcterms:created>
  <dcterms:modified xsi:type="dcterms:W3CDTF">2023-12-11T20:41:44Z</dcterms:modified>
</cp:coreProperties>
</file>